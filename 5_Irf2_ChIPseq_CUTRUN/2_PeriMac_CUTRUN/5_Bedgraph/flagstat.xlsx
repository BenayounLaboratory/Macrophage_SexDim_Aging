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erenice/Desktop/Irf2_CUTRUN/BAM_clean/"/>
    </mc:Choice>
  </mc:AlternateContent>
  <xr:revisionPtr revIDLastSave="0" documentId="13_ncr:1_{6E948069-C0D0-9945-9A31-28C6871D5963}" xr6:coauthVersionLast="47" xr6:coauthVersionMax="47" xr10:uidLastSave="{00000000-0000-0000-0000-000000000000}"/>
  <bookViews>
    <workbookView xWindow="5520" yWindow="760" windowWidth="27420" windowHeight="16740" xr2:uid="{5710D582-FA97-C140-94BC-E157F5C31BF7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4" i="1" l="1"/>
  <c r="C15" i="1"/>
  <c r="C16" i="1"/>
  <c r="C13" i="1"/>
  <c r="B14" i="1"/>
  <c r="B15" i="1"/>
  <c r="B16" i="1"/>
  <c r="B13" i="1"/>
</calcChain>
</file>

<file path=xl/sharedStrings.xml><?xml version="1.0" encoding="utf-8"?>
<sst xmlns="http://schemas.openxmlformats.org/spreadsheetml/2006/main" count="17" uniqueCount="17">
  <si>
    <t>./SpikeIns/01_0LRG_02ZNUSC_YF-Pool1_IRF2_mm_i1-13.dm6.mp.srt.rmdup.bam</t>
  </si>
  <si>
    <t>./SpikeIns/02_0LRH_02ZNUSC_YF-Pool2_IRF2_mm_i2-13.dm6.mp.srt.rmdup.bam</t>
  </si>
  <si>
    <t>./SpikeIns/03_0LRI_02ZNUSC_OF-Pool1_IRF2_mm_i3-13.dm6.mp.srt.rmdup.bam</t>
  </si>
  <si>
    <t>./SpikeIns/04_0LRJ_02ZNUSC_OF-Pool2_IRF2_mm_i4-13.dm6.mp.srt.rmdup.bam</t>
  </si>
  <si>
    <t>01_0LRG_02ZNUSC_YF-Pool1_IRF2_mm_i1-13.mm10.mp.srt.rmdup.bam</t>
  </si>
  <si>
    <t>02_0LRH_02ZNUSC_YF-Pool2_IRF2_mm_i2-13.mm10.mp.srt.rmdup.bam</t>
  </si>
  <si>
    <t>03_0LRI_02ZNUSC_OF-Pool1_IRF2_mm_i3-13.mm10.mp.srt.rmdup.bam</t>
  </si>
  <si>
    <t>04_0LRJ_02ZNUSC_OF-Pool2_IRF2_mm_i4-13.mm10.mp.srt.rmdup.bam</t>
  </si>
  <si>
    <t>File</t>
  </si>
  <si>
    <t>mapped</t>
  </si>
  <si>
    <t>YF1</t>
  </si>
  <si>
    <t>YF2</t>
  </si>
  <si>
    <t>OF1</t>
  </si>
  <si>
    <t>OF2</t>
  </si>
  <si>
    <t>Scaling factor</t>
  </si>
  <si>
    <t>Ratio</t>
  </si>
  <si>
    <t>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</si>
</sst>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1" xfId="0" applyFill="1" applyBorder="1"/>
    <xf numFmtId="2" fontId="0" fillId="2" borderId="1" xfId="0" applyNumberFormat="1" applyFill="1" applyBorder="1"/>
    <xf numFmtId="1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FA210-B968-C940-8E7A-4630C2FE18F9}">
  <dimension ref="A1:C16"/>
  <sheetViews>
    <sheetView tabSelected="1" workbookViewId="0">
      <selection activeCell="E18" sqref="E18"/>
    </sheetView>
  </sheetViews>
  <sheetFormatPr baseColWidth="10" defaultRowHeight="16" x14ac:dyDescent="0.2"/>
  <cols>
    <col min="1" max="1" width="70.1640625" bestFit="1" customWidth="1"/>
  </cols>
  <sheetData>
    <row r="1" spans="1:3" x14ac:dyDescent="0.2">
      <c r="A1" s="1" t="s">
        <v>8</v>
      </c>
      <c r="B1" s="1" t="s">
        <v>9</v>
      </c>
    </row>
    <row r="2" spans="1:3" x14ac:dyDescent="0.2">
      <c r="A2" t="s">
        <v>0</v>
      </c>
      <c r="B2">
        <v>3019166</v>
      </c>
    </row>
    <row r="3" spans="1:3" x14ac:dyDescent="0.2">
      <c r="A3" t="s">
        <v>1</v>
      </c>
      <c r="B3">
        <v>1143302</v>
      </c>
    </row>
    <row r="4" spans="1:3" x14ac:dyDescent="0.2">
      <c r="A4" t="s">
        <v>2</v>
      </c>
      <c r="B4">
        <v>3482048</v>
      </c>
    </row>
    <row r="5" spans="1:3" x14ac:dyDescent="0.2">
      <c r="A5" t="s">
        <v>3</v>
      </c>
      <c r="B5">
        <v>2698400</v>
      </c>
    </row>
    <row r="6" spans="1:3" x14ac:dyDescent="0.2">
      <c r="A6" t="s">
        <v>4</v>
      </c>
      <c r="B6">
        <v>28350300</v>
      </c>
    </row>
    <row r="7" spans="1:3" x14ac:dyDescent="0.2">
      <c r="A7" t="s">
        <v>5</v>
      </c>
      <c r="B7">
        <v>30292868</v>
      </c>
    </row>
    <row r="8" spans="1:3" x14ac:dyDescent="0.2">
      <c r="A8" t="s">
        <v>6</v>
      </c>
      <c r="B8">
        <v>23383614</v>
      </c>
    </row>
    <row r="9" spans="1:3" x14ac:dyDescent="0.2">
      <c r="A9" t="s">
        <v>7</v>
      </c>
      <c r="B9">
        <v>22473744</v>
      </c>
    </row>
    <row r="12" spans="1:3" x14ac:dyDescent="0.2">
      <c r="A12" s="1" t="s">
        <v>16</v>
      </c>
      <c r="B12" s="1" t="s">
        <v>15</v>
      </c>
      <c r="C12" s="1" t="s">
        <v>14</v>
      </c>
    </row>
    <row r="13" spans="1:3" x14ac:dyDescent="0.2">
      <c r="A13" s="2" t="s">
        <v>10</v>
      </c>
      <c r="B13" s="3">
        <f>B6/B2</f>
        <v>9.3901097190416163</v>
      </c>
      <c r="C13" s="4">
        <f>B13*10000</f>
        <v>93901.097190416156</v>
      </c>
    </row>
    <row r="14" spans="1:3" x14ac:dyDescent="0.2">
      <c r="A14" s="2" t="s">
        <v>11</v>
      </c>
      <c r="B14" s="3">
        <f t="shared" ref="B14:B16" si="0">B7/B3</f>
        <v>26.495945953037779</v>
      </c>
      <c r="C14" s="4">
        <f t="shared" ref="C14:C16" si="1">B14*10000</f>
        <v>264959.45953037782</v>
      </c>
    </row>
    <row r="15" spans="1:3" x14ac:dyDescent="0.2">
      <c r="A15" s="2" t="s">
        <v>12</v>
      </c>
      <c r="B15" s="3">
        <f t="shared" si="0"/>
        <v>6.7154772134100389</v>
      </c>
      <c r="C15" s="4">
        <f t="shared" si="1"/>
        <v>67154.772134100393</v>
      </c>
    </row>
    <row r="16" spans="1:3" x14ac:dyDescent="0.2">
      <c r="A16" s="2" t="s">
        <v>13</v>
      </c>
      <c r="B16" s="3">
        <f t="shared" si="0"/>
        <v>8.3285443225615179</v>
      </c>
      <c r="C16" s="4">
        <f t="shared" si="1"/>
        <v>83285.443225615178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Berenice A. Benayoun</dc:creator>
  <cp:lastModifiedBy>Berenice A. Benayoun</cp:lastModifiedBy>
  <dcterms:created xsi:type="dcterms:W3CDTF">2025-12-01T10:16:39Z</dcterms:created>
  <dcterms:modified xsi:type="dcterms:W3CDTF">2025-12-01T10:23:21Z</dcterms:modified>
</cp:coreProperties>
</file>